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th.Lee\Diamond Groups\AI\IoT-Dashboard\docs\CSW6\"/>
    </mc:Choice>
  </mc:AlternateContent>
  <xr:revisionPtr revIDLastSave="0" documentId="8_{2890BD5D-F2E6-4B47-8103-19BA4D673C3B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IOT需求清單_U204" sheetId="7" state="hidden" r:id="rId1"/>
    <sheet name="IOT需求清單_204" sheetId="8" r:id="rId2"/>
    <sheet name="工作表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8" l="1"/>
  <c r="E12" i="7"/>
  <c r="C5" i="3" l="1"/>
  <c r="C1" i="3"/>
</calcChain>
</file>

<file path=xl/sharedStrings.xml><?xml version="1.0" encoding="utf-8"?>
<sst xmlns="http://schemas.openxmlformats.org/spreadsheetml/2006/main" count="170" uniqueCount="78">
  <si>
    <t>人民幣</t>
    <phoneticPr fontId="1" type="noConversion"/>
  </si>
  <si>
    <t>出差費</t>
    <phoneticPr fontId="1" type="noConversion"/>
  </si>
  <si>
    <t>機票</t>
    <phoneticPr fontId="1" type="noConversion"/>
  </si>
  <si>
    <t>高鐵</t>
    <phoneticPr fontId="1" type="noConversion"/>
  </si>
  <si>
    <t>餐費</t>
    <phoneticPr fontId="1" type="noConversion"/>
  </si>
  <si>
    <t>住宿</t>
    <phoneticPr fontId="1" type="noConversion"/>
  </si>
  <si>
    <t>計程車</t>
    <phoneticPr fontId="1" type="noConversion"/>
  </si>
  <si>
    <t>台胞證</t>
    <phoneticPr fontId="1" type="noConversion"/>
  </si>
  <si>
    <t>数量</t>
    <phoneticPr fontId="1" type="noConversion"/>
  </si>
  <si>
    <t>后跟定型</t>
    <phoneticPr fontId="1" type="noConversion"/>
  </si>
  <si>
    <t>划线机</t>
    <phoneticPr fontId="1" type="noConversion"/>
  </si>
  <si>
    <t>关注项目</t>
    <phoneticPr fontId="1" type="noConversion"/>
  </si>
  <si>
    <t>功能验证方式</t>
    <phoneticPr fontId="1" type="noConversion"/>
  </si>
  <si>
    <t>红外线枪比对</t>
    <phoneticPr fontId="1" type="noConversion"/>
  </si>
  <si>
    <t>机器流速</t>
    <phoneticPr fontId="1" type="noConversion"/>
  </si>
  <si>
    <t>机器温度</t>
    <phoneticPr fontId="1" type="noConversion"/>
  </si>
  <si>
    <t>验证量测容许误差</t>
    <phoneticPr fontId="1" type="noConversion"/>
  </si>
  <si>
    <t>产品温度</t>
    <phoneticPr fontId="1" type="noConversion"/>
  </si>
  <si>
    <t>量测点</t>
    <phoneticPr fontId="1" type="noConversion"/>
  </si>
  <si>
    <t>万能压机</t>
    <phoneticPr fontId="1" type="noConversion"/>
  </si>
  <si>
    <t>温度探棒比对</t>
    <phoneticPr fontId="1" type="noConversion"/>
  </si>
  <si>
    <t>机台压力表比对</t>
    <phoneticPr fontId="1" type="noConversion"/>
  </si>
  <si>
    <t>机器温度</t>
    <phoneticPr fontId="1" type="noConversion"/>
  </si>
  <si>
    <t>机器压力</t>
    <phoneticPr fontId="1" type="noConversion"/>
  </si>
  <si>
    <t>第一階段
2026/06</t>
    <phoneticPr fontId="1" type="noConversion"/>
  </si>
  <si>
    <t>第二階段
2026/09</t>
    <phoneticPr fontId="1" type="noConversion"/>
  </si>
  <si>
    <t>设备类型</t>
    <phoneticPr fontId="1" type="noConversion"/>
  </si>
  <si>
    <t>计量单位</t>
    <phoneticPr fontId="1" type="noConversion"/>
  </si>
  <si>
    <t>°C</t>
    <phoneticPr fontId="1" type="noConversion"/>
  </si>
  <si>
    <t>kg/cm2</t>
    <phoneticPr fontId="1" type="noConversion"/>
  </si>
  <si>
    <t>psi</t>
    <phoneticPr fontId="1" type="noConversion"/>
  </si>
  <si>
    <t>警示灯</t>
    <phoneticPr fontId="1" type="noConversion"/>
  </si>
  <si>
    <t>標配</t>
    <phoneticPr fontId="1" type="noConversion"/>
  </si>
  <si>
    <t>机器流速</t>
    <phoneticPr fontId="1" type="noConversion"/>
  </si>
  <si>
    <t>机器温度</t>
    <phoneticPr fontId="1" type="noConversion"/>
  </si>
  <si>
    <t>机器流速</t>
    <phoneticPr fontId="1" type="noConversion"/>
  </si>
  <si>
    <t>烘箱</t>
    <phoneticPr fontId="1" type="noConversion"/>
  </si>
  <si>
    <t>冷冻机</t>
    <phoneticPr fontId="1" type="noConversion"/>
  </si>
  <si>
    <t>机器表头比对</t>
    <phoneticPr fontId="1" type="noConversion"/>
  </si>
  <si>
    <t>机器表头比对</t>
    <phoneticPr fontId="1" type="noConversion"/>
  </si>
  <si>
    <t>导入阶段</t>
    <phoneticPr fontId="1" type="noConversion"/>
  </si>
  <si>
    <t>°C</t>
    <phoneticPr fontId="1" type="noConversion"/>
  </si>
  <si>
    <t>≤ ± 5 °C</t>
    <phoneticPr fontId="1" type="noConversion"/>
  </si>
  <si>
    <t>上限:
下限:</t>
    <phoneticPr fontId="1" type="noConversion"/>
  </si>
  <si>
    <t>上限/下限</t>
    <phoneticPr fontId="1" type="noConversion"/>
  </si>
  <si>
    <t>加硫机</t>
    <phoneticPr fontId="1" type="noConversion"/>
  </si>
  <si>
    <t>≤ ± 5 Hz</t>
    <phoneticPr fontId="1" type="noConversion"/>
  </si>
  <si>
    <t>≤ ± 10 rpm</t>
    <phoneticPr fontId="1" type="noConversion"/>
  </si>
  <si>
    <t>秒數</t>
    <phoneticPr fontId="1" type="noConversion"/>
  </si>
  <si>
    <t>设定值</t>
    <phoneticPr fontId="1" type="noConversion"/>
  </si>
  <si>
    <t>0-5</t>
    <phoneticPr fontId="1" type="noConversion"/>
  </si>
  <si>
    <t>60-65</t>
    <phoneticPr fontId="2" type="noConversion"/>
  </si>
  <si>
    <t>上限:65
下限:60</t>
    <phoneticPr fontId="1" type="noConversion"/>
  </si>
  <si>
    <t>6min</t>
    <phoneticPr fontId="2" type="noConversion"/>
  </si>
  <si>
    <t>8min</t>
    <phoneticPr fontId="2" type="noConversion"/>
  </si>
  <si>
    <t>产品温度 1</t>
    <phoneticPr fontId="1" type="noConversion"/>
  </si>
  <si>
    <t>产品温度 2</t>
    <phoneticPr fontId="1" type="noConversion"/>
  </si>
  <si>
    <t>O/S:50-53
UPPER:60-65</t>
    <phoneticPr fontId="2" type="noConversion"/>
  </si>
  <si>
    <t>O/S:50-53
UPPER:65-70</t>
    <phoneticPr fontId="2" type="noConversion"/>
  </si>
  <si>
    <t>上限:5
下限:0</t>
    <phoneticPr fontId="1" type="noConversion"/>
  </si>
  <si>
    <t>上限:7min
下限:6min</t>
    <phoneticPr fontId="1" type="noConversion"/>
  </si>
  <si>
    <t>2.5kg</t>
    <phoneticPr fontId="2" type="noConversion"/>
  </si>
  <si>
    <t>后跟定型（热）</t>
    <phoneticPr fontId="1" type="noConversion"/>
  </si>
  <si>
    <t>后跟定型（冷）</t>
    <phoneticPr fontId="1" type="noConversion"/>
  </si>
  <si>
    <t>模具温度</t>
    <phoneticPr fontId="1" type="noConversion"/>
  </si>
  <si>
    <t>0-5</t>
    <phoneticPr fontId="2" type="noConversion"/>
  </si>
  <si>
    <t>压机时间</t>
    <phoneticPr fontId="2" type="noConversion"/>
  </si>
  <si>
    <t>秒表测量</t>
    <phoneticPr fontId="2" type="noConversion"/>
  </si>
  <si>
    <t>上限:15"
下限:12"</t>
    <phoneticPr fontId="1" type="noConversion"/>
  </si>
  <si>
    <t>min12"</t>
    <phoneticPr fontId="2" type="noConversion"/>
  </si>
  <si>
    <t>上限:110
下限:100</t>
    <phoneticPr fontId="1" type="noConversion"/>
  </si>
  <si>
    <t>100-110</t>
    <phoneticPr fontId="2" type="noConversion"/>
  </si>
  <si>
    <t>2-3min
3-4min</t>
    <phoneticPr fontId="2" type="noConversion"/>
  </si>
  <si>
    <t>上限:40
下限:35</t>
    <phoneticPr fontId="1" type="noConversion"/>
  </si>
  <si>
    <t>O/S
上限:53
下限:50
UPPER
上限:65
下限:60</t>
    <phoneticPr fontId="1" type="noConversion"/>
  </si>
  <si>
    <t>O/S
上限:53
下限:50
UPPER
上限:70
下限:65</t>
    <phoneticPr fontId="1" type="noConversion"/>
  </si>
  <si>
    <t>上限:9min
下限:8min</t>
    <phoneticPr fontId="1" type="noConversion"/>
  </si>
  <si>
    <t>上限:3.0
下限:2.5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</si>
</sst>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opLeftCell="A10" zoomScale="175" zoomScaleNormal="175" workbookViewId="0">
      <selection sqref="A1:XFD1048576"/>
    </sheetView>
  </sheetViews>
  <sheetFormatPr defaultRowHeight="16.2" x14ac:dyDescent="0.3"/>
  <cols>
    <col min="1" max="1" width="11.77734375" customWidth="1"/>
    <col min="2" max="2" width="10.33203125" customWidth="1"/>
    <col min="3" max="3" width="7.5546875" customWidth="1"/>
    <col min="4" max="4" width="9.77734375" customWidth="1"/>
    <col min="6" max="6" width="9.44140625" bestFit="1" customWidth="1"/>
    <col min="7" max="7" width="9.44140625" customWidth="1"/>
    <col min="8" max="8" width="10" bestFit="1" customWidth="1"/>
    <col min="9" max="9" width="9.44140625" customWidth="1"/>
    <col min="10" max="10" width="16.109375" bestFit="1" customWidth="1"/>
    <col min="11" max="11" width="18.33203125" bestFit="1" customWidth="1"/>
  </cols>
  <sheetData>
    <row r="1" spans="1:11" ht="25.05" customHeight="1" x14ac:dyDescent="0.3">
      <c r="A1" s="2" t="s">
        <v>40</v>
      </c>
      <c r="B1" s="2" t="s">
        <v>26</v>
      </c>
      <c r="C1" s="2" t="s">
        <v>8</v>
      </c>
      <c r="D1" s="2" t="s">
        <v>11</v>
      </c>
      <c r="E1" s="2" t="s">
        <v>18</v>
      </c>
      <c r="F1" s="5" t="s">
        <v>49</v>
      </c>
      <c r="G1" s="5" t="s">
        <v>27</v>
      </c>
      <c r="H1" s="5" t="s">
        <v>44</v>
      </c>
      <c r="I1" s="2" t="s">
        <v>31</v>
      </c>
      <c r="J1" s="2" t="s">
        <v>12</v>
      </c>
      <c r="K1" s="2" t="s">
        <v>16</v>
      </c>
    </row>
    <row r="2" spans="1:11" ht="35.1" customHeight="1" x14ac:dyDescent="0.3">
      <c r="A2" s="13" t="s">
        <v>24</v>
      </c>
      <c r="B2" s="14" t="s">
        <v>45</v>
      </c>
      <c r="C2" s="15">
        <v>1</v>
      </c>
      <c r="D2" s="2" t="s">
        <v>34</v>
      </c>
      <c r="E2" s="2">
        <v>1</v>
      </c>
      <c r="F2" s="3"/>
      <c r="G2" s="4" t="s">
        <v>41</v>
      </c>
      <c r="H2" s="6" t="s">
        <v>43</v>
      </c>
      <c r="I2" s="7"/>
      <c r="J2" s="8" t="s">
        <v>20</v>
      </c>
      <c r="K2" s="2" t="s">
        <v>42</v>
      </c>
    </row>
    <row r="3" spans="1:11" ht="35.1" customHeight="1" x14ac:dyDescent="0.3">
      <c r="A3" s="14"/>
      <c r="B3" s="14"/>
      <c r="C3" s="16"/>
      <c r="D3" s="2" t="s">
        <v>35</v>
      </c>
      <c r="E3" s="2">
        <v>1</v>
      </c>
      <c r="F3" s="3"/>
      <c r="G3" s="5" t="s">
        <v>48</v>
      </c>
      <c r="H3" s="6" t="s">
        <v>43</v>
      </c>
      <c r="I3" s="2"/>
      <c r="J3" s="8" t="s">
        <v>38</v>
      </c>
      <c r="K3" s="2" t="s">
        <v>47</v>
      </c>
    </row>
    <row r="4" spans="1:11" ht="35.1" customHeight="1" x14ac:dyDescent="0.3">
      <c r="A4" s="14"/>
      <c r="B4" s="14" t="s">
        <v>36</v>
      </c>
      <c r="C4" s="15">
        <v>1</v>
      </c>
      <c r="D4" s="2" t="s">
        <v>15</v>
      </c>
      <c r="E4" s="2">
        <v>3</v>
      </c>
      <c r="F4" s="3"/>
      <c r="G4" s="4" t="s">
        <v>28</v>
      </c>
      <c r="H4" s="6" t="s">
        <v>43</v>
      </c>
      <c r="I4" s="7"/>
      <c r="J4" s="8" t="s">
        <v>20</v>
      </c>
      <c r="K4" s="2" t="s">
        <v>42</v>
      </c>
    </row>
    <row r="5" spans="1:11" ht="35.1" customHeight="1" x14ac:dyDescent="0.3">
      <c r="A5" s="14"/>
      <c r="B5" s="14"/>
      <c r="C5" s="17"/>
      <c r="D5" s="2" t="s">
        <v>14</v>
      </c>
      <c r="E5" s="2">
        <v>1</v>
      </c>
      <c r="F5" s="3"/>
      <c r="G5" s="5" t="s">
        <v>48</v>
      </c>
      <c r="H5" s="6" t="s">
        <v>43</v>
      </c>
      <c r="I5" s="8"/>
      <c r="J5" s="8" t="s">
        <v>39</v>
      </c>
      <c r="K5" s="2" t="s">
        <v>46</v>
      </c>
    </row>
    <row r="6" spans="1:11" ht="35.1" customHeight="1" x14ac:dyDescent="0.3">
      <c r="A6" s="14"/>
      <c r="B6" s="14"/>
      <c r="C6" s="16"/>
      <c r="D6" s="2" t="s">
        <v>17</v>
      </c>
      <c r="E6" s="2">
        <v>3</v>
      </c>
      <c r="F6" s="3"/>
      <c r="G6" s="4" t="s">
        <v>28</v>
      </c>
      <c r="H6" s="6" t="s">
        <v>43</v>
      </c>
      <c r="I6" s="7" t="s">
        <v>32</v>
      </c>
      <c r="J6" s="8" t="s">
        <v>13</v>
      </c>
      <c r="K6" s="2" t="s">
        <v>42</v>
      </c>
    </row>
    <row r="7" spans="1:11" ht="35.1" customHeight="1" x14ac:dyDescent="0.3">
      <c r="A7" s="14"/>
      <c r="B7" s="14" t="s">
        <v>37</v>
      </c>
      <c r="C7" s="15">
        <v>1</v>
      </c>
      <c r="D7" s="2" t="s">
        <v>22</v>
      </c>
      <c r="E7" s="2">
        <v>1</v>
      </c>
      <c r="F7" s="5" t="s">
        <v>50</v>
      </c>
      <c r="G7" s="4" t="s">
        <v>28</v>
      </c>
      <c r="H7" s="6" t="s">
        <v>43</v>
      </c>
      <c r="I7" s="7"/>
      <c r="J7" s="8" t="s">
        <v>20</v>
      </c>
      <c r="K7" s="2" t="s">
        <v>42</v>
      </c>
    </row>
    <row r="8" spans="1:11" ht="35.1" customHeight="1" x14ac:dyDescent="0.3">
      <c r="A8" s="14"/>
      <c r="B8" s="14"/>
      <c r="C8" s="16"/>
      <c r="D8" s="2" t="s">
        <v>33</v>
      </c>
      <c r="E8" s="2">
        <v>1</v>
      </c>
      <c r="F8" s="3"/>
      <c r="G8" s="5" t="s">
        <v>48</v>
      </c>
      <c r="H8" s="6" t="s">
        <v>43</v>
      </c>
      <c r="I8" s="2"/>
      <c r="J8" s="8" t="s">
        <v>38</v>
      </c>
      <c r="K8" s="2" t="s">
        <v>47</v>
      </c>
    </row>
    <row r="9" spans="1:11" ht="35.1" customHeight="1" x14ac:dyDescent="0.3">
      <c r="A9" s="13" t="s">
        <v>25</v>
      </c>
      <c r="B9" s="2" t="s">
        <v>10</v>
      </c>
      <c r="C9" s="2">
        <v>1</v>
      </c>
      <c r="D9" s="2" t="s">
        <v>23</v>
      </c>
      <c r="E9" s="2">
        <v>2</v>
      </c>
      <c r="F9" s="3"/>
      <c r="G9" s="5" t="s">
        <v>30</v>
      </c>
      <c r="H9" s="6" t="s">
        <v>43</v>
      </c>
      <c r="I9" s="2"/>
      <c r="J9" s="8" t="s">
        <v>21</v>
      </c>
      <c r="K9" s="3"/>
    </row>
    <row r="10" spans="1:11" ht="35.1" customHeight="1" x14ac:dyDescent="0.3">
      <c r="A10" s="14"/>
      <c r="B10" s="2" t="s">
        <v>9</v>
      </c>
      <c r="C10" s="2">
        <v>1</v>
      </c>
      <c r="D10" s="2" t="s">
        <v>17</v>
      </c>
      <c r="E10" s="2">
        <v>8</v>
      </c>
      <c r="F10" s="3"/>
      <c r="G10" s="4" t="s">
        <v>28</v>
      </c>
      <c r="H10" s="6" t="s">
        <v>43</v>
      </c>
      <c r="I10" s="7" t="s">
        <v>32</v>
      </c>
      <c r="J10" s="8" t="s">
        <v>20</v>
      </c>
      <c r="K10" s="3"/>
    </row>
    <row r="11" spans="1:11" ht="35.1" customHeight="1" x14ac:dyDescent="0.3">
      <c r="A11" s="14"/>
      <c r="B11" s="2" t="s">
        <v>19</v>
      </c>
      <c r="C11" s="2">
        <v>1</v>
      </c>
      <c r="D11" s="2" t="s">
        <v>23</v>
      </c>
      <c r="E11" s="2">
        <v>2</v>
      </c>
      <c r="F11" s="3"/>
      <c r="G11" s="5" t="s">
        <v>29</v>
      </c>
      <c r="H11" s="6" t="s">
        <v>43</v>
      </c>
      <c r="I11" s="2"/>
      <c r="J11" s="8" t="s">
        <v>21</v>
      </c>
      <c r="K11" s="3"/>
    </row>
    <row r="12" spans="1:11" x14ac:dyDescent="0.3">
      <c r="A12" s="1"/>
      <c r="B12" s="1"/>
      <c r="C12" s="1"/>
      <c r="D12" s="1"/>
      <c r="E12" s="1">
        <f>SUM(E2:E11)</f>
        <v>23</v>
      </c>
    </row>
  </sheetData>
  <mergeCells count="8">
    <mergeCell ref="A9:A11"/>
    <mergeCell ref="A2:A8"/>
    <mergeCell ref="C2:C3"/>
    <mergeCell ref="C4:C6"/>
    <mergeCell ref="C7:C8"/>
    <mergeCell ref="B2:B3"/>
    <mergeCell ref="B4:B6"/>
    <mergeCell ref="B7:B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54DE-E43D-4990-8823-22E573F5EFD9}">
  <dimension ref="A1:K15"/>
  <sheetViews>
    <sheetView tabSelected="1" zoomScale="115" zoomScaleNormal="115" workbookViewId="0">
      <selection activeCell="H4" sqref="H4"/>
    </sheetView>
  </sheetViews>
  <sheetFormatPr defaultRowHeight="16.2" x14ac:dyDescent="0.3"/>
  <cols>
    <col min="1" max="1" width="11.77734375" customWidth="1"/>
    <col min="2" max="2" width="17.21875" customWidth="1"/>
    <col min="3" max="3" width="7.5546875" customWidth="1"/>
    <col min="4" max="4" width="11.88671875" customWidth="1"/>
    <col min="6" max="6" width="12.44140625" style="1" customWidth="1"/>
    <col min="7" max="7" width="9.44140625" customWidth="1"/>
    <col min="8" max="8" width="10" bestFit="1" customWidth="1"/>
    <col min="9" max="9" width="9.44140625" customWidth="1"/>
    <col min="10" max="10" width="16.109375" bestFit="1" customWidth="1"/>
    <col min="11" max="11" width="18.33203125" bestFit="1" customWidth="1"/>
  </cols>
  <sheetData>
    <row r="1" spans="1:11" ht="25.05" customHeight="1" x14ac:dyDescent="0.3">
      <c r="A1" s="2" t="s">
        <v>40</v>
      </c>
      <c r="B1" s="2" t="s">
        <v>26</v>
      </c>
      <c r="C1" s="2" t="s">
        <v>8</v>
      </c>
      <c r="D1" s="2" t="s">
        <v>11</v>
      </c>
      <c r="E1" s="2" t="s">
        <v>18</v>
      </c>
      <c r="F1" s="5" t="s">
        <v>49</v>
      </c>
      <c r="G1" s="5" t="s">
        <v>27</v>
      </c>
      <c r="H1" s="5" t="s">
        <v>44</v>
      </c>
      <c r="I1" s="2" t="s">
        <v>31</v>
      </c>
      <c r="J1" s="2" t="s">
        <v>12</v>
      </c>
      <c r="K1" s="2" t="s">
        <v>16</v>
      </c>
    </row>
    <row r="2" spans="1:11" ht="35.1" customHeight="1" x14ac:dyDescent="0.3">
      <c r="A2" s="13" t="s">
        <v>24</v>
      </c>
      <c r="B2" s="14" t="s">
        <v>45</v>
      </c>
      <c r="C2" s="15">
        <v>1</v>
      </c>
      <c r="D2" s="2" t="s">
        <v>15</v>
      </c>
      <c r="E2" s="2">
        <v>1</v>
      </c>
      <c r="F2" s="5" t="s">
        <v>51</v>
      </c>
      <c r="G2" s="4" t="s">
        <v>28</v>
      </c>
      <c r="H2" s="6" t="s">
        <v>52</v>
      </c>
      <c r="I2" s="7"/>
      <c r="J2" s="8" t="s">
        <v>20</v>
      </c>
      <c r="K2" s="2" t="s">
        <v>42</v>
      </c>
    </row>
    <row r="3" spans="1:11" ht="35.1" customHeight="1" x14ac:dyDescent="0.3">
      <c r="A3" s="14"/>
      <c r="B3" s="14"/>
      <c r="C3" s="16"/>
      <c r="D3" s="2" t="s">
        <v>14</v>
      </c>
      <c r="E3" s="2">
        <v>1</v>
      </c>
      <c r="F3" s="5" t="s">
        <v>53</v>
      </c>
      <c r="G3" s="5" t="s">
        <v>48</v>
      </c>
      <c r="H3" s="6" t="s">
        <v>60</v>
      </c>
      <c r="I3" s="2"/>
      <c r="J3" s="8" t="s">
        <v>38</v>
      </c>
      <c r="K3" s="2" t="s">
        <v>47</v>
      </c>
    </row>
    <row r="4" spans="1:11" ht="35.1" customHeight="1" x14ac:dyDescent="0.3">
      <c r="A4" s="14"/>
      <c r="B4" s="14" t="s">
        <v>36</v>
      </c>
      <c r="C4" s="15">
        <v>1</v>
      </c>
      <c r="D4" s="2" t="s">
        <v>15</v>
      </c>
      <c r="E4" s="2">
        <v>3</v>
      </c>
      <c r="F4" s="9"/>
      <c r="G4" s="10" t="s">
        <v>28</v>
      </c>
      <c r="H4" s="11" t="s">
        <v>43</v>
      </c>
      <c r="I4" s="10"/>
      <c r="J4" s="8" t="s">
        <v>20</v>
      </c>
      <c r="K4" s="2" t="s">
        <v>42</v>
      </c>
    </row>
    <row r="5" spans="1:11" ht="40.950000000000003" customHeight="1" x14ac:dyDescent="0.3">
      <c r="A5" s="14"/>
      <c r="B5" s="14"/>
      <c r="C5" s="17"/>
      <c r="D5" s="2" t="s">
        <v>14</v>
      </c>
      <c r="E5" s="2">
        <v>1</v>
      </c>
      <c r="F5" s="10" t="s">
        <v>72</v>
      </c>
      <c r="G5" s="9" t="s">
        <v>48</v>
      </c>
      <c r="H5" s="11" t="s">
        <v>43</v>
      </c>
      <c r="I5" s="12"/>
      <c r="J5" s="8" t="s">
        <v>38</v>
      </c>
      <c r="K5" s="2" t="s">
        <v>46</v>
      </c>
    </row>
    <row r="6" spans="1:11" ht="90.45" customHeight="1" x14ac:dyDescent="0.3">
      <c r="A6" s="14"/>
      <c r="B6" s="14"/>
      <c r="C6" s="17"/>
      <c r="D6" s="2" t="s">
        <v>55</v>
      </c>
      <c r="E6" s="2">
        <v>1</v>
      </c>
      <c r="F6" s="4" t="s">
        <v>57</v>
      </c>
      <c r="G6" s="4" t="s">
        <v>28</v>
      </c>
      <c r="H6" s="6" t="s">
        <v>74</v>
      </c>
      <c r="I6" s="8"/>
      <c r="J6" s="8" t="s">
        <v>13</v>
      </c>
      <c r="K6" s="2" t="s">
        <v>42</v>
      </c>
    </row>
    <row r="7" spans="1:11" ht="106.95" customHeight="1" x14ac:dyDescent="0.3">
      <c r="A7" s="14"/>
      <c r="B7" s="14"/>
      <c r="C7" s="16"/>
      <c r="D7" s="2" t="s">
        <v>56</v>
      </c>
      <c r="E7" s="2">
        <v>1</v>
      </c>
      <c r="F7" s="4" t="s">
        <v>58</v>
      </c>
      <c r="G7" s="4" t="s">
        <v>28</v>
      </c>
      <c r="H7" s="6" t="s">
        <v>75</v>
      </c>
      <c r="I7" s="7" t="s">
        <v>32</v>
      </c>
      <c r="J7" s="8" t="s">
        <v>13</v>
      </c>
      <c r="K7" s="2" t="s">
        <v>42</v>
      </c>
    </row>
    <row r="8" spans="1:11" ht="35.1" customHeight="1" x14ac:dyDescent="0.3">
      <c r="A8" s="14"/>
      <c r="B8" s="14" t="s">
        <v>37</v>
      </c>
      <c r="C8" s="15">
        <v>1</v>
      </c>
      <c r="D8" s="2" t="s">
        <v>15</v>
      </c>
      <c r="E8" s="2">
        <v>1</v>
      </c>
      <c r="F8" s="5" t="s">
        <v>50</v>
      </c>
      <c r="G8" s="4" t="s">
        <v>28</v>
      </c>
      <c r="H8" s="6" t="s">
        <v>59</v>
      </c>
      <c r="I8" s="7"/>
      <c r="J8" s="8" t="s">
        <v>20</v>
      </c>
      <c r="K8" s="2" t="s">
        <v>42</v>
      </c>
    </row>
    <row r="9" spans="1:11" ht="35.1" customHeight="1" x14ac:dyDescent="0.3">
      <c r="A9" s="14"/>
      <c r="B9" s="14"/>
      <c r="C9" s="16"/>
      <c r="D9" s="2" t="s">
        <v>14</v>
      </c>
      <c r="E9" s="2">
        <v>1</v>
      </c>
      <c r="F9" s="5" t="s">
        <v>54</v>
      </c>
      <c r="G9" s="5" t="s">
        <v>48</v>
      </c>
      <c r="H9" s="6" t="s">
        <v>76</v>
      </c>
      <c r="I9" s="2"/>
      <c r="J9" s="8" t="s">
        <v>38</v>
      </c>
      <c r="K9" s="2" t="s">
        <v>47</v>
      </c>
    </row>
    <row r="10" spans="1:11" ht="35.1" customHeight="1" x14ac:dyDescent="0.3">
      <c r="A10" s="13" t="s">
        <v>25</v>
      </c>
      <c r="B10" s="2" t="s">
        <v>10</v>
      </c>
      <c r="C10" s="2">
        <v>1</v>
      </c>
      <c r="D10" s="2" t="s">
        <v>23</v>
      </c>
      <c r="E10" s="2">
        <v>2</v>
      </c>
      <c r="F10" s="5" t="s">
        <v>61</v>
      </c>
      <c r="G10" s="5" t="s">
        <v>30</v>
      </c>
      <c r="H10" s="6" t="s">
        <v>77</v>
      </c>
      <c r="I10" s="2"/>
      <c r="J10" s="8" t="s">
        <v>21</v>
      </c>
      <c r="K10" s="3"/>
    </row>
    <row r="11" spans="1:11" ht="35.1" customHeight="1" x14ac:dyDescent="0.3">
      <c r="A11" s="13"/>
      <c r="B11" s="2" t="s">
        <v>62</v>
      </c>
      <c r="C11" s="2">
        <v>1</v>
      </c>
      <c r="D11" s="2" t="s">
        <v>64</v>
      </c>
      <c r="E11" s="2">
        <v>4</v>
      </c>
      <c r="F11" s="5" t="s">
        <v>71</v>
      </c>
      <c r="G11" s="4" t="s">
        <v>28</v>
      </c>
      <c r="H11" s="6" t="s">
        <v>70</v>
      </c>
      <c r="I11" s="2"/>
      <c r="J11" s="8" t="s">
        <v>20</v>
      </c>
      <c r="K11" s="3"/>
    </row>
    <row r="12" spans="1:11" ht="35.1" customHeight="1" x14ac:dyDescent="0.3">
      <c r="A12" s="13"/>
      <c r="B12" s="2" t="s">
        <v>63</v>
      </c>
      <c r="C12" s="2">
        <v>1</v>
      </c>
      <c r="D12" s="2" t="s">
        <v>64</v>
      </c>
      <c r="E12" s="2">
        <v>4</v>
      </c>
      <c r="F12" s="5" t="s">
        <v>65</v>
      </c>
      <c r="G12" s="4" t="s">
        <v>28</v>
      </c>
      <c r="H12" s="6" t="s">
        <v>59</v>
      </c>
      <c r="I12" s="7" t="s">
        <v>32</v>
      </c>
      <c r="J12" s="8" t="s">
        <v>20</v>
      </c>
      <c r="K12" s="3"/>
    </row>
    <row r="13" spans="1:11" ht="35.1" customHeight="1" x14ac:dyDescent="0.3">
      <c r="A13" s="13"/>
      <c r="B13" s="14" t="s">
        <v>19</v>
      </c>
      <c r="C13" s="2">
        <v>1</v>
      </c>
      <c r="D13" s="2" t="s">
        <v>23</v>
      </c>
      <c r="E13" s="2">
        <v>2</v>
      </c>
      <c r="F13" s="5">
        <v>35</v>
      </c>
      <c r="G13" s="5" t="s">
        <v>29</v>
      </c>
      <c r="H13" s="6" t="s">
        <v>73</v>
      </c>
      <c r="I13" s="2"/>
      <c r="J13" s="8" t="s">
        <v>21</v>
      </c>
      <c r="K13" s="3"/>
    </row>
    <row r="14" spans="1:11" ht="35.1" customHeight="1" x14ac:dyDescent="0.3">
      <c r="A14" s="13"/>
      <c r="B14" s="14"/>
      <c r="C14" s="2">
        <v>1</v>
      </c>
      <c r="D14" s="2" t="s">
        <v>66</v>
      </c>
      <c r="E14" s="2">
        <v>2</v>
      </c>
      <c r="F14" s="5" t="s">
        <v>69</v>
      </c>
      <c r="G14" s="5" t="s">
        <v>48</v>
      </c>
      <c r="H14" s="6" t="s">
        <v>68</v>
      </c>
      <c r="I14" s="2"/>
      <c r="J14" s="8" t="s">
        <v>67</v>
      </c>
      <c r="K14" s="3"/>
    </row>
    <row r="15" spans="1:11" x14ac:dyDescent="0.3">
      <c r="A15" s="1"/>
      <c r="B15" s="1"/>
      <c r="C15" s="1"/>
      <c r="D15" s="1"/>
      <c r="E15" s="1">
        <f>SUM(E2:E14)</f>
        <v>24</v>
      </c>
    </row>
  </sheetData>
  <mergeCells count="9">
    <mergeCell ref="A10:A14"/>
    <mergeCell ref="B13:B14"/>
    <mergeCell ref="A2:A9"/>
    <mergeCell ref="B2:B3"/>
    <mergeCell ref="C2:C3"/>
    <mergeCell ref="B4:B7"/>
    <mergeCell ref="C4:C7"/>
    <mergeCell ref="B8:B9"/>
    <mergeCell ref="C8:C9"/>
  </mergeCells>
  <phoneticPr fontId="2" type="noConversion"/>
  <pageMargins left="0.7" right="0.7" top="0.75" bottom="0.75" header="0.3" footer="0.3"/>
  <pageSetup paperSize="9" orientation="portrait" verticalDpi="0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B11" sqref="B11"/>
    </sheetView>
  </sheetViews>
  <sheetFormatPr defaultRowHeight="16.2" x14ac:dyDescent="0.3"/>
  <cols>
    <col min="3" max="3" width="11.109375" bestFit="1" customWidth="1"/>
  </cols>
  <sheetData>
    <row r="1" spans="1:3" x14ac:dyDescent="0.3">
      <c r="A1" t="s">
        <v>6</v>
      </c>
      <c r="B1">
        <v>500</v>
      </c>
      <c r="C1" s="18">
        <f>(B1+B2+B3+B4)/B19</f>
        <v>1048.0349344978165</v>
      </c>
    </row>
    <row r="2" spans="1:3" x14ac:dyDescent="0.3">
      <c r="A2" t="s">
        <v>5</v>
      </c>
      <c r="B2">
        <v>2000</v>
      </c>
      <c r="C2" s="18"/>
    </row>
    <row r="3" spans="1:3" x14ac:dyDescent="0.3">
      <c r="A3" t="s">
        <v>4</v>
      </c>
      <c r="B3">
        <v>1300</v>
      </c>
      <c r="C3" s="18"/>
    </row>
    <row r="4" spans="1:3" x14ac:dyDescent="0.3">
      <c r="A4" t="s">
        <v>1</v>
      </c>
      <c r="B4">
        <v>1000</v>
      </c>
      <c r="C4" s="18"/>
    </row>
    <row r="5" spans="1:3" x14ac:dyDescent="0.3">
      <c r="A5" t="s">
        <v>2</v>
      </c>
      <c r="B5">
        <v>20000</v>
      </c>
      <c r="C5" s="18">
        <f>(B5+B6+B7)/B19</f>
        <v>6550.2183406113536</v>
      </c>
    </row>
    <row r="6" spans="1:3" x14ac:dyDescent="0.3">
      <c r="A6" t="s">
        <v>3</v>
      </c>
      <c r="B6">
        <v>8000</v>
      </c>
      <c r="C6" s="18"/>
    </row>
    <row r="7" spans="1:3" x14ac:dyDescent="0.3">
      <c r="A7" t="s">
        <v>7</v>
      </c>
      <c r="B7">
        <v>2000</v>
      </c>
      <c r="C7" s="18"/>
    </row>
    <row r="19" spans="1:2" x14ac:dyDescent="0.3">
      <c r="A19" t="s">
        <v>0</v>
      </c>
      <c r="B19">
        <v>4.58</v>
      </c>
    </row>
  </sheetData>
  <mergeCells count="2">
    <mergeCell ref="C1:C4"/>
    <mergeCell ref="C5:C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IOT需求清單_U204</vt:lpstr>
      <vt:lpstr>IOT需求清單_204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Ho 何榮峯</dc:creator>
  <cp:lastModifiedBy>dm.azure</cp:lastModifiedBy>
  <dcterms:created xsi:type="dcterms:W3CDTF">2026-03-21T00:53:42Z</dcterms:created>
  <dcterms:modified xsi:type="dcterms:W3CDTF">2026-04-22T07:10:44Z</dcterms:modified>
</cp:coreProperties>
</file>